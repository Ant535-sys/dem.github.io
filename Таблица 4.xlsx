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<sst xmlns="http://schemas.openxmlformats.org/spreadsheetml/2006/main" xmlns:a="http://schemas.openxmlformats.org/drawingml/2006/main" xmlns:a15="http://schemas.microsoft.com/office/drawing/2012/main" xmlns:asvg="http://schemas.microsoft.com/office/drawing/2016/SVG/main" xmlns:c="http://schemas.openxmlformats.org/drawingml/2006/chart" xmlns:co="http://ncloudtech.com" xmlns:co-ooxml="http://ncloudtech.com/ooxml" xmlns:m="http://schemas.openxmlformats.org/officeDocument/2006/math" xmlns:mc="http://schemas.openxmlformats.org/markup-compatibility/2006" xmlns:o="urn:schemas-microsoft-com:office:office" xmlns:p="http://schemas.openxmlformats.org/presentationml/2006/main" xmlns:pic="http://schemas.openxmlformats.org/drawingml/2006/picture" xmlns:r="http://schemas.openxmlformats.org/officeDocument/2006/relationships" xmlns:s="http://schemas.openxmlformats.org/officeDocument/2006/sharedTypes" xmlns:sl="http://schemas.openxmlformats.org/schemaLibrary/2006/main" xmlns:v="urn:schemas-microsoft-com:vml" xmlns:w="http://schemas.openxmlformats.org/wordprocessingml/2006/main" xmlns:w10="urn:schemas-microsoft-com:office:word" xmlns:w14="http://schemas.microsoft.com/office/word/2010/wordml" xmlns:w15="http://schemas.microsoft.com/office/word/2012/wordml" xmlns:wp="http://schemas.openxmlformats.org/drawingml/2006/wordprocessingDrawing" xmlns:wpg="http://schemas.microsoft.com/office/word/2010/wordprocessingGroup" xmlns:wps="http://schemas.microsoft.com/office/word/2010/wordprocessingShape" xmlns:x="urn:schemas-microsoft-com:office:excel" xmlns:x12ac="http://schemas.microsoft.com/office/spreadsheetml/2011/1/ac" xmlns:x14="http://schemas.microsoft.com/office/spreadsheetml/2009/9/main" xmlns:xdr="http://schemas.openxmlformats.org/drawingml/2006/spreadsheetDrawing" xmlns:xm="http://schemas.microsoft.com/office/excel/2006/main" mc:Ignorable="co co-ooxml w14 x14 w15">
  <si>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Маx показ</t>
  </si>
  <si>
    <t>Сумма</t>
  </si>
  <si/>
  <si>
    <t>0</t>
  </si>
  <si>
    <t>1</t>
  </si>
  <si>
    <t>2</t>
  </si>
  <si>
    <t>17</t>
  </si>
  <si>
    <t>3</t>
  </si>
  <si>
    <t>4</t>
  </si>
  <si>
    <t>5</t>
  </si>
  <si>
    <t>6</t>
  </si>
  <si>
    <t>7</t>
  </si>
  <si>
    <t>8</t>
  </si>
  <si>
    <t>9</t>
  </si>
  <si>
    <t>18</t>
  </si>
  <si>
    <t>10</t>
  </si>
  <si>
    <t>19</t>
  </si>
  <si>
    <t>11</t>
  </si>
  <si>
    <t>20</t>
  </si>
  <si>
    <t>12</t>
  </si>
  <si>
    <t>13</t>
  </si>
  <si>
    <t>14</t>
  </si>
  <si>
    <t>21</t>
  </si>
  <si>
    <t>15</t>
  </si>
  <si>
    <t>16</t>
  </si>
  <si>
    <t>22</t>
  </si>
  <si>
    <t>23</t>
  </si>
  <si>
    <t>Сумма для 2</t>
  </si>
  <si>
    <t>Сумма для 3</t>
  </si>
  <si>
    <t>Статистическая функция</t>
  </si>
  <si>
    <t>Для А (Лист 3)</t>
  </si>
  <si>
    <t>Для В (Лист 3)</t>
  </si>
  <si>
    <t>Для С (Лист 3)</t>
  </si>
  <si>
    <t>Среднее значение</t>
  </si>
  <si>
    <t>Мах значение</t>
  </si>
  <si>
    <t>Мin значение</t>
  </si>
  <si>
    <t>Медиана</t>
  </si>
  <si>
    <t>Мода</t>
  </si>
  <si>
    <t>Дисперсия</t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</si>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</sst>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3">
    <font>
      <name val="Calibri"/>
      <sz val="11"/>
    </font>
    <font>
      <name val="XO Thames"/>
      <sz val="12"/>
    </font>
    <font>
      <b val="true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</border>
  </borders>
  <cellStyleXfs count="1">
    <xf applyBorder="false" applyFill="false" applyFont="true" borderId="0" fillId="0" fontId="1" numFmtId="0" quotePrefix="false"/>
  </cellStyleXfs>
  <cellXfs count="7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Border="true" applyFill="false" applyFont="true" borderId="2" fillId="0" fontId="1" numFmtId="0" quotePrefix="false"/>
    <xf applyAlignment="true" applyBorder="true" applyFill="false" applyFont="true" borderId="1" fillId="0" fontId="1" numFmtId="0" quotePrefix="false">
      <alignment horizontal="left"/>
    </xf>
    <xf applyBorder="false" applyFill="false" applyFont="true" applyNumberFormat="true" borderId="0" fillId="0" fontId="1" numFmtId="1000" quotePrefix="false"/>
    <xf applyAlignment="true" applyBorder="false" applyFill="false" applyFont="true" borderId="0" fillId="0" fontId="2" numFmtId="0" quotePrefix="false">
      <alignment horizontal="center" vertical="center"/>
    </xf>
    <xf applyAlignment="true" applyBorder="false" applyFill="false" applyFont="true" borderId="0" fillId="0" fontId="1" numFmtId="0" quotePrefix="false">
      <alignment indent="1"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6349" y="1724024"/>
    <xdr:ext cx="6388100" cy="3419475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2" min="2" outlineLevel="0" width="10.23148328122169"/>
  </cols>
  <sheetData>
    <row outlineLevel="0" r="1">
      <c r="A1" s="1" t="s">
        <v>0</v>
      </c>
      <c r="B1" s="1" t="s">
        <v>1</v>
      </c>
      <c r="C1" t="s">
        <v>2</v>
      </c>
    </row>
    <row outlineLevel="0" r="2">
      <c r="A2" s="1" t="s">
        <v>3</v>
      </c>
      <c r="B2" s="1" t="n">
        <f aca="false" ca="false" dt2D="false" dtr="false" t="normal">2^A2</f>
        <v>1</v>
      </c>
    </row>
    <row outlineLevel="0" r="3">
      <c r="A3" s="1" t="s">
        <v>4</v>
      </c>
      <c r="B3" s="1" t="n">
        <f aca="false" ca="false" dt2D="false" dtr="false" t="normal">2^A3</f>
        <v>2</v>
      </c>
    </row>
    <row outlineLevel="0" r="4">
      <c r="A4" s="1" t="s">
        <v>5</v>
      </c>
      <c r="B4" s="1" t="n">
        <f aca="false" ca="false" dt2D="false" dtr="false" t="normal">2^A4</f>
        <v>4</v>
      </c>
    </row>
    <row outlineLevel="0" r="5">
      <c r="A5" s="1" t="s">
        <v>7</v>
      </c>
      <c r="B5" s="1" t="n">
        <f aca="false" ca="false" dt2D="false" dtr="false" t="normal">2^A5</f>
        <v>8</v>
      </c>
    </row>
    <row outlineLevel="0" r="6">
      <c r="A6" s="1" t="s">
        <v>8</v>
      </c>
      <c r="B6" s="1" t="n">
        <f aca="false" ca="false" dt2D="false" dtr="false" t="normal">2^A6</f>
        <v>16</v>
      </c>
    </row>
    <row outlineLevel="0" r="7">
      <c r="A7" s="1" t="s">
        <v>9</v>
      </c>
      <c r="B7" s="1" t="n">
        <f aca="false" ca="false" dt2D="false" dtr="false" t="normal">2^A7</f>
        <v>32</v>
      </c>
    </row>
    <row outlineLevel="0" r="8">
      <c r="A8" s="1" t="s">
        <v>10</v>
      </c>
      <c r="B8" s="1" t="n">
        <f aca="false" ca="false" dt2D="false" dtr="false" t="normal">2^A8</f>
        <v>64</v>
      </c>
    </row>
    <row outlineLevel="0" r="9">
      <c r="A9" s="1" t="s">
        <v>11</v>
      </c>
      <c r="B9" s="1" t="n">
        <f aca="false" ca="false" dt2D="false" dtr="false" t="normal">2^A9</f>
        <v>128</v>
      </c>
    </row>
    <row outlineLevel="0" r="10">
      <c r="A10" s="1" t="s">
        <v>12</v>
      </c>
      <c r="B10" s="1" t="n">
        <f aca="false" ca="false" dt2D="false" dtr="false" t="normal">2^A10</f>
        <v>256</v>
      </c>
    </row>
    <row outlineLevel="0" r="11">
      <c r="A11" s="1" t="s">
        <v>13</v>
      </c>
      <c r="B11" s="1" t="n">
        <f aca="false" ca="false" dt2D="false" dtr="false" t="normal">2^A11</f>
        <v>512</v>
      </c>
    </row>
    <row outlineLevel="0" r="12">
      <c r="A12" s="1" t="s">
        <v>15</v>
      </c>
      <c r="B12" s="1" t="n">
        <f aca="false" ca="false" dt2D="false" dtr="false" t="normal">2^A12</f>
        <v>1024</v>
      </c>
    </row>
    <row outlineLevel="0" r="13">
      <c r="A13" s="1" t="s">
        <v>17</v>
      </c>
      <c r="B13" s="1" t="n">
        <f aca="false" ca="false" dt2D="false" dtr="false" t="normal">2^A13</f>
        <v>2048</v>
      </c>
    </row>
    <row outlineLevel="0" r="14">
      <c r="A14" s="1" t="s">
        <v>19</v>
      </c>
      <c r="B14" s="1" t="n">
        <f aca="false" ca="false" dt2D="false" dtr="false" t="normal">2^A14</f>
        <v>4096</v>
      </c>
    </row>
    <row outlineLevel="0" r="15">
      <c r="A15" s="1" t="s">
        <v>20</v>
      </c>
      <c r="B15" s="1" t="n">
        <f aca="false" ca="false" dt2D="false" dtr="false" t="normal">2^A15</f>
        <v>8192</v>
      </c>
    </row>
    <row outlineLevel="0" r="16">
      <c r="A16" s="1" t="s">
        <v>21</v>
      </c>
      <c r="B16" s="1" t="n">
        <f aca="false" ca="false" dt2D="false" dtr="false" t="normal">2^A16</f>
        <v>16384</v>
      </c>
    </row>
    <row outlineLevel="0" r="17">
      <c r="A17" s="1" t="s">
        <v>23</v>
      </c>
      <c r="B17" s="1" t="n">
        <f aca="false" ca="false" dt2D="false" dtr="false" t="normal">2^A17</f>
        <v>32768</v>
      </c>
    </row>
    <row outlineLevel="0" r="18">
      <c r="A18" s="1" t="s">
        <v>24</v>
      </c>
      <c r="B18" s="1" t="n">
        <f aca="false" ca="false" dt2D="false" dtr="false" t="normal">2^A18</f>
        <v>65536</v>
      </c>
    </row>
    <row outlineLevel="0" r="19">
      <c r="A19" s="1" t="s">
        <v>6</v>
      </c>
      <c r="B19" s="1" t="n">
        <f aca="false" ca="false" dt2D="false" dtr="false" t="normal">2^A19</f>
        <v>131072</v>
      </c>
    </row>
    <row outlineLevel="0" r="20">
      <c r="A20" s="1" t="s">
        <v>14</v>
      </c>
      <c r="B20" s="1" t="n">
        <f aca="false" ca="false" dt2D="false" dtr="false" t="normal">2^A20</f>
        <v>262144</v>
      </c>
    </row>
    <row outlineLevel="0" r="21">
      <c r="A21" s="1" t="s">
        <v>16</v>
      </c>
      <c r="B21" s="1" t="n">
        <f aca="false" ca="false" dt2D="false" dtr="false" t="normal">2^A21</f>
        <v>524288</v>
      </c>
    </row>
    <row outlineLevel="0" r="22">
      <c r="A22" s="1" t="s">
        <v>18</v>
      </c>
      <c r="B22" s="1" t="n">
        <f aca="false" ca="false" dt2D="false" dtr="false" t="normal">2^A22</f>
        <v>1048576</v>
      </c>
    </row>
    <row outlineLevel="0" r="23">
      <c r="A23" s="1" t="s">
        <v>22</v>
      </c>
      <c r="B23" s="1" t="n">
        <f aca="false" ca="false" dt2D="false" dtr="false" t="normal">2^A23</f>
        <v>2097152</v>
      </c>
    </row>
    <row outlineLevel="0" r="24">
      <c r="A24" s="1" t="s">
        <v>25</v>
      </c>
      <c r="B24" s="1" t="n">
        <f aca="false" ca="false" dt2D="false" dtr="false" t="normal">2^A24</f>
        <v>4194304</v>
      </c>
    </row>
    <row outlineLevel="0" r="25">
      <c r="A25" s="1" t="s">
        <v>26</v>
      </c>
      <c r="B25" s="1" t="n">
        <f aca="false" ca="false" dt2D="false" dtr="false" t="normal">2^A25</f>
        <v>8388608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2" min="2" outlineLevel="0" width="12.416851861343954"/>
  </cols>
  <sheetData>
    <row outlineLevel="0" r="1">
      <c r="A1" s="1" t="s">
        <v>0</v>
      </c>
      <c r="B1" s="1" t="s">
        <v>1</v>
      </c>
    </row>
    <row outlineLevel="0" r="2">
      <c r="A2" s="1" t="s">
        <v>3</v>
      </c>
      <c r="B2" s="1" t="n">
        <f aca="false" ca="false" dt2D="false" dtr="false" t="normal">3^A2</f>
        <v>1</v>
      </c>
    </row>
    <row outlineLevel="0" r="3">
      <c r="A3" s="1" t="s">
        <v>4</v>
      </c>
      <c r="B3" s="1" t="n">
        <f aca="false" ca="false" dt2D="false" dtr="false" t="normal">3^A3</f>
        <v>3</v>
      </c>
    </row>
    <row outlineLevel="0" r="4">
      <c r="A4" s="1" t="s">
        <v>5</v>
      </c>
      <c r="B4" s="1" t="n">
        <f aca="false" ca="false" dt2D="false" dtr="false" t="normal">3^A4</f>
        <v>9</v>
      </c>
    </row>
    <row outlineLevel="0" r="5">
      <c r="A5" s="1" t="s">
        <v>7</v>
      </c>
      <c r="B5" s="1" t="n">
        <f aca="false" ca="false" dt2D="false" dtr="false" t="normal">3^A5</f>
        <v>27</v>
      </c>
    </row>
    <row outlineLevel="0" r="6">
      <c r="A6" s="1" t="s">
        <v>8</v>
      </c>
      <c r="B6" s="1" t="n">
        <f aca="false" ca="false" dt2D="false" dtr="false" t="normal">3^A6</f>
        <v>81</v>
      </c>
    </row>
    <row outlineLevel="0" r="7">
      <c r="A7" s="1" t="s">
        <v>9</v>
      </c>
      <c r="B7" s="1" t="n">
        <f aca="false" ca="false" dt2D="false" dtr="false" t="normal">3^A7</f>
        <v>243</v>
      </c>
    </row>
    <row outlineLevel="0" r="8">
      <c r="A8" s="1" t="s">
        <v>10</v>
      </c>
      <c r="B8" s="1" t="n">
        <f aca="false" ca="false" dt2D="false" dtr="false" t="normal">3^A8</f>
        <v>729</v>
      </c>
    </row>
    <row outlineLevel="0" r="9">
      <c r="A9" s="1" t="s">
        <v>11</v>
      </c>
      <c r="B9" s="1" t="n">
        <f aca="false" ca="false" dt2D="false" dtr="false" t="normal">3^A9</f>
        <v>2187</v>
      </c>
    </row>
    <row outlineLevel="0" r="10">
      <c r="A10" s="1" t="s">
        <v>12</v>
      </c>
      <c r="B10" s="1" t="n">
        <f aca="false" ca="false" dt2D="false" dtr="false" t="normal">3^A10</f>
        <v>6561</v>
      </c>
    </row>
    <row outlineLevel="0" r="11">
      <c r="A11" s="1" t="s">
        <v>13</v>
      </c>
      <c r="B11" s="1" t="n">
        <f aca="false" ca="false" dt2D="false" dtr="false" t="normal">3^A11</f>
        <v>19683</v>
      </c>
    </row>
    <row outlineLevel="0" r="12">
      <c r="A12" s="1" t="s">
        <v>15</v>
      </c>
      <c r="B12" s="1" t="n">
        <f aca="false" ca="false" dt2D="false" dtr="false" t="normal">3^A12</f>
        <v>59049</v>
      </c>
    </row>
    <row outlineLevel="0" r="13">
      <c r="A13" s="1" t="s">
        <v>17</v>
      </c>
      <c r="B13" s="1" t="n">
        <f aca="false" ca="false" dt2D="false" dtr="false" t="normal">3^A13</f>
        <v>177147</v>
      </c>
    </row>
    <row outlineLevel="0" r="14">
      <c r="A14" s="1" t="s">
        <v>19</v>
      </c>
      <c r="B14" s="1" t="n">
        <f aca="false" ca="false" dt2D="false" dtr="false" t="normal">3^A14</f>
        <v>531441</v>
      </c>
    </row>
    <row outlineLevel="0" r="15">
      <c r="A15" s="1" t="s">
        <v>20</v>
      </c>
      <c r="B15" s="1" t="n">
        <f aca="false" ca="false" dt2D="false" dtr="false" t="normal">3^A15</f>
        <v>1594323</v>
      </c>
    </row>
    <row outlineLevel="0" r="16">
      <c r="A16" s="1" t="s">
        <v>21</v>
      </c>
      <c r="B16" s="1" t="n">
        <f aca="false" ca="false" dt2D="false" dtr="false" t="normal">3^A16</f>
        <v>4782969</v>
      </c>
    </row>
    <row outlineLevel="0" r="17">
      <c r="A17" s="1" t="s">
        <v>23</v>
      </c>
      <c r="B17" s="1" t="n">
        <f aca="false" ca="false" dt2D="false" dtr="false" t="normal">3^A17</f>
        <v>14348907</v>
      </c>
    </row>
    <row outlineLevel="0" r="18">
      <c r="A18" s="1" t="s">
        <v>24</v>
      </c>
      <c r="B18" s="1" t="n">
        <f aca="false" ca="false" dt2D="false" dtr="false" t="normal">3^A18</f>
        <v>43046721</v>
      </c>
    </row>
    <row outlineLevel="0" r="19">
      <c r="A19" s="1" t="s">
        <v>6</v>
      </c>
      <c r="B19" s="1" t="n">
        <f aca="false" ca="false" dt2D="false" dtr="false" t="normal">3^A19</f>
        <v>129140163</v>
      </c>
    </row>
    <row outlineLevel="0" r="20">
      <c r="A20" s="1" t="s">
        <v>14</v>
      </c>
      <c r="B20" s="1" t="n">
        <f aca="false" ca="false" dt2D="false" dtr="false" t="normal">3^A20</f>
        <v>387420489</v>
      </c>
    </row>
    <row outlineLevel="0" r="21">
      <c r="A21" s="1" t="s">
        <v>16</v>
      </c>
      <c r="B21" s="1" t="n">
        <f aca="false" ca="false" dt2D="false" dtr="false" t="normal">3^A21</f>
        <v>1162261467</v>
      </c>
    </row>
    <row outlineLevel="0" r="22">
      <c r="A22" s="1" t="s">
        <v>18</v>
      </c>
      <c r="B22" s="1" t="n">
        <f aca="false" ca="false" dt2D="false" dtr="false" t="normal">3^A22</f>
        <v>3486784401</v>
      </c>
    </row>
    <row outlineLevel="0" r="23">
      <c r="A23" s="1" t="s">
        <v>22</v>
      </c>
      <c r="B23" s="1" t="n">
        <f aca="false" ca="false" dt2D="false" dtr="false" t="normal">3^A23</f>
        <v>10460353203</v>
      </c>
    </row>
    <row outlineLevel="0" r="24">
      <c r="A24" s="1" t="s">
        <v>25</v>
      </c>
      <c r="B24" s="1" t="n">
        <f aca="false" ca="false" dt2D="false" dtr="false" t="normal">3^A24</f>
        <v>31381059609</v>
      </c>
    </row>
    <row outlineLevel="0" r="25">
      <c r="A25" s="1" t="s">
        <v>26</v>
      </c>
      <c r="B25" s="1" t="n">
        <f aca="false" ca="false" dt2D="false" dtr="false" t="normal">3^A25</f>
        <v>94143178827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2" min="2" outlineLevel="0" width="12.493124155966482"/>
    <col customWidth="true" max="3" min="3" outlineLevel="0" width="14.368068732896242"/>
  </cols>
  <sheetData>
    <row outlineLevel="0" r="1">
      <c r="A1" s="1" t="s">
        <v>0</v>
      </c>
      <c r="B1" s="1" t="s">
        <v>27</v>
      </c>
      <c r="C1" s="1" t="s">
        <v>28</v>
      </c>
      <c r="D1" s="2" t="n"/>
    </row>
    <row outlineLevel="0" r="2">
      <c r="A2" s="3" t="n">
        <v>0</v>
      </c>
      <c r="B2" s="1" t="n">
        <f aca="false" ca="false" dt2D="false" dtr="false" t="normal">VLOOKUP('Лист1'!A2, 'Лист1'!A1:B25, 2, FALSE)</f>
        <v>1</v>
      </c>
      <c r="C2" s="1" t="n">
        <f aca="false" ca="false" dt2D="false" dtr="false" t="normal">VLOOKUP('Лист2'!A2, 'Лист2'!$A$1:$B$25, 2, FALSE)</f>
        <v>1</v>
      </c>
    </row>
    <row outlineLevel="0" r="3">
      <c r="A3" s="3" t="n">
        <v>1</v>
      </c>
      <c r="B3" s="1" t="n">
        <f aca="false" ca="false" dt2D="false" dtr="false" t="normal">VLOOKUP('Лист1'!A3, 'Лист1'!A2:B26, 2, FALSE)</f>
        <v>2</v>
      </c>
      <c r="C3" s="1" t="n">
        <f aca="false" ca="false" dt2D="false" dtr="false" t="normal">VLOOKUP('Лист2'!A3, 'Лист2'!$A$1:$B$25, 2, FALSE)</f>
        <v>3</v>
      </c>
    </row>
    <row outlineLevel="0" r="4">
      <c r="A4" s="3" t="n">
        <v>2</v>
      </c>
      <c r="B4" s="1" t="n">
        <f aca="false" ca="false" dt2D="false" dtr="false" t="normal">VLOOKUP('Лист1'!A4, 'Лист1'!A3:B27, 2, FALSE)</f>
        <v>4</v>
      </c>
      <c r="C4" s="1" t="n">
        <f aca="false" ca="false" dt2D="false" dtr="false" t="normal">VLOOKUP('Лист2'!A4, 'Лист2'!$A$1:$B$25, 2, FALSE)</f>
        <v>9</v>
      </c>
    </row>
    <row outlineLevel="0" r="5">
      <c r="A5" s="3" t="n">
        <v>3</v>
      </c>
      <c r="B5" s="1" t="n">
        <f aca="false" ca="false" dt2D="false" dtr="false" t="normal">VLOOKUP('Лист1'!A5, 'Лист1'!A4:B28, 2, FALSE)</f>
        <v>8</v>
      </c>
      <c r="C5" s="1" t="n">
        <f aca="false" ca="false" dt2D="false" dtr="false" t="normal">VLOOKUP('Лист2'!A5, 'Лист2'!$A$1:$B$25, 2, FALSE)</f>
        <v>27</v>
      </c>
    </row>
    <row outlineLevel="0" r="6">
      <c r="A6" s="3" t="n">
        <v>4</v>
      </c>
      <c r="B6" s="1" t="n">
        <f aca="false" ca="false" dt2D="false" dtr="false" t="normal">VLOOKUP('Лист1'!A6, 'Лист1'!A5:B29, 2, FALSE)</f>
        <v>16</v>
      </c>
      <c r="C6" s="1" t="n">
        <f aca="false" ca="false" dt2D="false" dtr="false" t="normal">VLOOKUP('Лист2'!A6, 'Лист2'!$A$1:$B$25, 2, FALSE)</f>
        <v>81</v>
      </c>
    </row>
    <row outlineLevel="0" r="7">
      <c r="A7" s="3" t="n">
        <v>5</v>
      </c>
      <c r="B7" s="1" t="n">
        <f aca="false" ca="false" dt2D="false" dtr="false" t="normal">VLOOKUP('Лист1'!A7, 'Лист1'!A6:B30, 2, FALSE)</f>
        <v>32</v>
      </c>
      <c r="C7" s="1" t="n">
        <f aca="false" ca="false" dt2D="false" dtr="false" t="normal">VLOOKUP('Лист2'!A7, 'Лист2'!$A$1:$B$25, 2, FALSE)</f>
        <v>243</v>
      </c>
    </row>
    <row outlineLevel="0" r="8">
      <c r="A8" s="3" t="n">
        <v>6</v>
      </c>
      <c r="B8" s="1" t="n">
        <f aca="false" ca="false" dt2D="false" dtr="false" t="normal">VLOOKUP('Лист1'!A8, 'Лист1'!A7:B31, 2, FALSE)</f>
        <v>64</v>
      </c>
      <c r="C8" s="1" t="n">
        <f aca="false" ca="false" dt2D="false" dtr="false" t="normal">VLOOKUP('Лист2'!A8, 'Лист2'!$A$1:$B$25, 2, FALSE)</f>
        <v>729</v>
      </c>
    </row>
    <row outlineLevel="0" r="9">
      <c r="A9" s="3" t="n">
        <v>7</v>
      </c>
      <c r="B9" s="1" t="n">
        <f aca="false" ca="false" dt2D="false" dtr="false" t="normal">VLOOKUP('Лист1'!A9, 'Лист1'!A8:B32, 2, FALSE)</f>
        <v>128</v>
      </c>
      <c r="C9" s="1" t="n">
        <f aca="false" ca="false" dt2D="false" dtr="false" t="normal">VLOOKUP('Лист2'!A9, 'Лист2'!$A$1:$B$25, 2, FALSE)</f>
        <v>2187</v>
      </c>
    </row>
    <row outlineLevel="0" r="10">
      <c r="A10" s="3" t="n">
        <v>8</v>
      </c>
      <c r="B10" s="1" t="n">
        <f aca="false" ca="false" dt2D="false" dtr="false" t="normal">VLOOKUP('Лист1'!A10, 'Лист1'!A9:B33, 2, FALSE)</f>
        <v>256</v>
      </c>
      <c r="C10" s="1" t="n">
        <f aca="false" ca="false" dt2D="false" dtr="false" t="normal">VLOOKUP('Лист2'!A10, 'Лист2'!$A$1:$B$25, 2, FALSE)</f>
        <v>6561</v>
      </c>
    </row>
    <row outlineLevel="0" r="11">
      <c r="A11" s="3" t="n">
        <v>9</v>
      </c>
      <c r="B11" s="1" t="n">
        <f aca="false" ca="false" dt2D="false" dtr="false" t="normal">VLOOKUP('Лист1'!A11, 'Лист1'!A10:B34, 2, FALSE)</f>
        <v>512</v>
      </c>
      <c r="C11" s="1" t="n">
        <f aca="false" ca="false" dt2D="false" dtr="false" t="normal">VLOOKUP('Лист2'!A11, 'Лист2'!$A$1:$B$25, 2, FALSE)</f>
        <v>19683</v>
      </c>
    </row>
    <row outlineLevel="0" r="12">
      <c r="A12" s="3" t="n">
        <v>10</v>
      </c>
      <c r="B12" s="1" t="n">
        <f aca="false" ca="false" dt2D="false" dtr="false" t="normal">VLOOKUP('Лист1'!A12, 'Лист1'!A11:B35, 2, FALSE)</f>
        <v>1024</v>
      </c>
      <c r="C12" s="1" t="n">
        <f aca="false" ca="false" dt2D="false" dtr="false" t="normal">VLOOKUP('Лист2'!A12, 'Лист2'!$A$1:$B$25, 2, FALSE)</f>
        <v>59049</v>
      </c>
    </row>
    <row outlineLevel="0" r="13">
      <c r="A13" s="3" t="n">
        <v>11</v>
      </c>
      <c r="B13" s="1" t="n">
        <f aca="false" ca="false" dt2D="false" dtr="false" t="normal">VLOOKUP('Лист1'!A13, 'Лист1'!A12:B36, 2, FALSE)</f>
        <v>2048</v>
      </c>
      <c r="C13" s="1" t="n">
        <f aca="false" ca="false" dt2D="false" dtr="false" t="normal">VLOOKUP('Лист2'!A13, 'Лист2'!$A$1:$B$25, 2, FALSE)</f>
        <v>177147</v>
      </c>
    </row>
    <row outlineLevel="0" r="14">
      <c r="A14" s="3" t="n">
        <v>12</v>
      </c>
      <c r="B14" s="1" t="n">
        <f aca="false" ca="false" dt2D="false" dtr="false" t="normal">VLOOKUP('Лист1'!A14, 'Лист1'!A13:B37, 2, FALSE)</f>
        <v>4096</v>
      </c>
      <c r="C14" s="1" t="n">
        <f aca="false" ca="false" dt2D="false" dtr="false" t="normal">VLOOKUP('Лист2'!A14, 'Лист2'!$A$1:$B$25, 2, FALSE)</f>
        <v>531441</v>
      </c>
    </row>
    <row outlineLevel="0" r="15">
      <c r="A15" s="3" t="n">
        <v>13</v>
      </c>
      <c r="B15" s="1" t="n">
        <f aca="false" ca="false" dt2D="false" dtr="false" t="normal">VLOOKUP('Лист1'!A15, 'Лист1'!A14:B38, 2, FALSE)</f>
        <v>8192</v>
      </c>
      <c r="C15" s="1" t="n">
        <f aca="false" ca="false" dt2D="false" dtr="false" t="normal">VLOOKUP('Лист2'!A15, 'Лист2'!$A$1:$B$25, 2, FALSE)</f>
        <v>1594323</v>
      </c>
    </row>
    <row outlineLevel="0" r="16">
      <c r="A16" s="3" t="n">
        <v>14</v>
      </c>
      <c r="B16" s="1" t="n">
        <f aca="false" ca="false" dt2D="false" dtr="false" t="normal">VLOOKUP('Лист1'!A16, 'Лист1'!A15:B39, 2, FALSE)</f>
        <v>16384</v>
      </c>
      <c r="C16" s="1" t="n">
        <f aca="false" ca="false" dt2D="false" dtr="false" t="normal">VLOOKUP('Лист2'!A16, 'Лист2'!$A$1:$B$25, 2, FALSE)</f>
        <v>4782969</v>
      </c>
    </row>
    <row outlineLevel="0" r="17">
      <c r="A17" s="3" t="n">
        <v>15</v>
      </c>
      <c r="B17" s="1" t="n">
        <f aca="false" ca="false" dt2D="false" dtr="false" t="normal">VLOOKUP('Лист1'!A17, 'Лист1'!A16:B40, 2, FALSE)</f>
        <v>32768</v>
      </c>
      <c r="C17" s="1" t="n">
        <f aca="false" ca="false" dt2D="false" dtr="false" t="normal">VLOOKUP('Лист2'!A17, 'Лист2'!$A$1:$B$25, 2, FALSE)</f>
        <v>14348907</v>
      </c>
    </row>
    <row outlineLevel="0" r="18">
      <c r="A18" s="3" t="n">
        <v>16</v>
      </c>
      <c r="B18" s="1" t="n">
        <f aca="false" ca="false" dt2D="false" dtr="false" t="normal">VLOOKUP('Лист1'!A18, 'Лист1'!A17:B41, 2, FALSE)</f>
        <v>65536</v>
      </c>
      <c r="C18" s="1" t="n">
        <f aca="false" ca="false" dt2D="false" dtr="false" t="normal">VLOOKUP('Лист2'!A18, 'Лист2'!$A$1:$B$25, 2, FALSE)</f>
        <v>43046721</v>
      </c>
    </row>
    <row outlineLevel="0" r="19">
      <c r="A19" s="3" t="n">
        <v>17</v>
      </c>
      <c r="B19" s="1" t="n">
        <f aca="false" ca="false" dt2D="false" dtr="false" t="normal">VLOOKUP('Лист1'!A19, 'Лист1'!A18:B42, 2, FALSE)</f>
        <v>131072</v>
      </c>
      <c r="C19" s="1" t="n">
        <f aca="false" ca="false" dt2D="false" dtr="false" t="normal">VLOOKUP('Лист2'!A19, 'Лист2'!$A$1:$B$25, 2, FALSE)</f>
        <v>129140163</v>
      </c>
    </row>
    <row outlineLevel="0" r="20">
      <c r="A20" s="3" t="n">
        <v>18</v>
      </c>
      <c r="B20" s="1" t="n">
        <f aca="false" ca="false" dt2D="false" dtr="false" t="normal">VLOOKUP('Лист1'!A20, 'Лист1'!A19:B43, 2, FALSE)</f>
        <v>262144</v>
      </c>
      <c r="C20" s="1" t="n">
        <f aca="false" ca="false" dt2D="false" dtr="false" t="normal">VLOOKUP('Лист2'!A20, 'Лист2'!$A$1:$B$25, 2, FALSE)</f>
        <v>387420489</v>
      </c>
    </row>
    <row outlineLevel="0" r="21">
      <c r="A21" s="3" t="n">
        <v>19</v>
      </c>
      <c r="B21" s="1" t="n">
        <f aca="false" ca="false" dt2D="false" dtr="false" t="normal">VLOOKUP('Лист1'!A21, 'Лист1'!A20:B44, 2, FALSE)</f>
        <v>524288</v>
      </c>
      <c r="C21" s="1" t="n">
        <f aca="false" ca="false" dt2D="false" dtr="false" t="normal">VLOOKUP('Лист2'!A21, 'Лист2'!$A$1:$B$25, 2, FALSE)</f>
        <v>1162261467</v>
      </c>
    </row>
    <row outlineLevel="0" r="22">
      <c r="A22" s="3" t="n">
        <v>20</v>
      </c>
      <c r="B22" s="1" t="n">
        <f aca="false" ca="false" dt2D="false" dtr="false" t="normal">VLOOKUP('Лист1'!A22, 'Лист1'!A21:B45, 2, FALSE)</f>
        <v>1048576</v>
      </c>
      <c r="C22" s="1" t="n">
        <f aca="false" ca="false" dt2D="false" dtr="false" t="normal">VLOOKUP('Лист2'!A22, 'Лист2'!$A$1:$B$25, 2, FALSE)</f>
        <v>3486784401</v>
      </c>
    </row>
    <row outlineLevel="0" r="23">
      <c r="A23" s="3" t="n">
        <v>21</v>
      </c>
      <c r="B23" s="1" t="n">
        <f aca="false" ca="false" dt2D="false" dtr="false" t="normal">VLOOKUP('Лист1'!A23, 'Лист1'!A22:B46, 2, FALSE)</f>
        <v>2097152</v>
      </c>
      <c r="C23" s="1" t="n">
        <f aca="false" ca="false" dt2D="false" dtr="false" t="normal">VLOOKUP('Лист2'!A23, 'Лист2'!$A$1:$B$25, 2, FALSE)</f>
        <v>10460353203</v>
      </c>
    </row>
    <row outlineLevel="0" r="24">
      <c r="A24" s="3" t="n">
        <v>22</v>
      </c>
      <c r="B24" s="1" t="n">
        <f aca="false" ca="false" dt2D="false" dtr="false" t="normal">VLOOKUP('Лист1'!A24, 'Лист1'!A23:B47, 2, FALSE)</f>
        <v>4194304</v>
      </c>
      <c r="C24" s="1" t="n">
        <f aca="false" ca="false" dt2D="false" dtr="false" t="normal">VLOOKUP('Лист2'!A24, 'Лист2'!$A$1:$B$25, 2, FALSE)</f>
        <v>31381059609</v>
      </c>
    </row>
    <row outlineLevel="0" r="25">
      <c r="A25" s="3" t="n">
        <v>23</v>
      </c>
      <c r="B25" s="1" t="n">
        <f aca="false" ca="false" dt2D="false" dtr="false" t="normal">VLOOKUP('Лист1'!A25, 'Лист1'!A24:B48, 2, FALSE)</f>
        <v>8388608</v>
      </c>
      <c r="C25" s="1" t="n">
        <f aca="false" ca="false" dt2D="false" dtr="false" t="normal">VLOOKUP('Лист2'!A25, 'Лист2'!$A$1:$B$25, 2, FALSE)</f>
        <v>94143178827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3.547669930389809"/>
    <col customWidth="true" max="2" min="2" outlineLevel="0" width="14.101993335867443"/>
    <col customWidth="true" max="3" min="3" outlineLevel="0" width="13.835920645497549"/>
    <col customWidth="true" max="4" min="4" outlineLevel="0" width="13.56984524846875"/>
  </cols>
  <sheetData>
    <row outlineLevel="0" r="1">
      <c r="A1" t="s">
        <v>29</v>
      </c>
      <c r="B1" t="s">
        <v>30</v>
      </c>
      <c r="C1" t="s">
        <v>31</v>
      </c>
      <c r="D1" t="s">
        <v>32</v>
      </c>
    </row>
    <row outlineLevel="0" r="2">
      <c r="A2" t="s">
        <v>33</v>
      </c>
      <c r="B2" s="4" t="n">
        <f aca="false" ca="false" dt2D="false" dtr="false" t="normal">AVERAGE('Лист3'!A2:A25)</f>
        <v>11.5</v>
      </c>
      <c r="C2" t="n">
        <f aca="false" ca="false" dt2D="false" dtr="false" t="normal">AVERAGE('Лист3'!B2:B25)</f>
        <v>699050.625</v>
      </c>
      <c r="D2" t="n">
        <f aca="false" ca="false" dt2D="false" dtr="false" t="normal">AVERAGE('Лист3'!C2:C25)</f>
        <v>5883948676.666667</v>
      </c>
    </row>
    <row outlineLevel="0" r="3">
      <c r="A3" t="s">
        <v>34</v>
      </c>
      <c r="B3" t="n">
        <f aca="false" ca="false" dt2D="false" dtr="false" t="normal">MAX('Лист3'!A2:A25)</f>
        <v>23</v>
      </c>
      <c r="C3" t="n">
        <f aca="false" ca="false" dt2D="false" dtr="false" t="normal">MAX('Лист3'!B2:B25)</f>
        <v>8388608</v>
      </c>
      <c r="D3" t="n">
        <f aca="false" ca="false" dt2D="false" dtr="false" t="normal">MAX('Лист3'!C2:C25)</f>
        <v>94143178827</v>
      </c>
    </row>
    <row outlineLevel="0" r="4">
      <c r="A4" t="s">
        <v>35</v>
      </c>
      <c r="B4" t="n">
        <f aca="false" ca="false" dt2D="false" dtr="false" t="normal">MIN('Лист3'!A2:A25)</f>
        <v>0</v>
      </c>
      <c r="C4" t="n">
        <f aca="false" ca="false" dt2D="false" dtr="false" t="normal">MIN('Лист3'!B2:B25)</f>
        <v>1</v>
      </c>
      <c r="D4" t="n">
        <f aca="false" ca="false" dt2D="false" dtr="false" t="normal">MIN('Лист3'!C2:C25)</f>
        <v>1</v>
      </c>
    </row>
    <row outlineLevel="0" r="5">
      <c r="A5" t="s">
        <v>36</v>
      </c>
      <c r="B5" t="n">
        <f aca="false" ca="false" dt2D="false" dtr="false" t="normal">MEDIAN('Лист3'!A2:A25)</f>
        <v>11.5</v>
      </c>
      <c r="C5" t="n">
        <f aca="false" ca="false" dt2D="false" dtr="false" t="normal">MEDIAN('Лист3'!B2:B25)</f>
        <v>3072</v>
      </c>
      <c r="D5" t="n">
        <f aca="false" ca="false" dt2D="false" dtr="false" t="normal">MEDIAN('Лист3'!C2:C25)</f>
        <v>354294</v>
      </c>
    </row>
    <row outlineLevel="0" r="6">
      <c r="A6" t="s">
        <v>37</v>
      </c>
      <c r="B6" t="e">
        <f aca="false" ca="false" dt2D="false" dtr="false" t="normal">_XLFN.MODE.SNGL('Лист3'!A2:A25)</f>
        <v>#N/A</v>
      </c>
      <c r="C6" t="e">
        <f aca="false" ca="false" dt2D="false" dtr="false" t="normal">_XLFN.MODE.SNGL('Лист3'!B2:B25, )</f>
        <v>#N/A</v>
      </c>
      <c r="D6" t="e">
        <f aca="false" ca="false" dt2D="false" dtr="false" t="normal">_XLFN.MODE.SNGL('Лист3'!C2:C25)</f>
        <v>#N/A</v>
      </c>
    </row>
    <row outlineLevel="0" r="7">
      <c r="A7" t="s">
        <v>38</v>
      </c>
      <c r="B7" t="n">
        <f aca="false" ca="false" dt2D="false" dtr="false" t="normal">_XLFN.VAR.P('Лист3'!A2:A25)</f>
        <v>47.916666666666664</v>
      </c>
      <c r="C7" t="n">
        <f aca="false" ca="false" dt2D="false" dtr="false" t="normal">_XLFN.VAR.P('Лист3'!B2:B25)</f>
        <v>3420702900223.9844</v>
      </c>
      <c r="D7" t="n">
        <f aca="false" ca="false" dt2D="false" dtr="false" t="normal">_XLFN.VAR.P('Лист3'!C2:C25)</f>
        <v>3.8082937232906355E+20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3.037693101081699"/>
  </cols>
  <sheetData>
    <row outlineLevel="0" r="1">
      <c r="A1" s="5" t="n"/>
      <c r="B1" s="5" t="n">
        <v>2021</v>
      </c>
      <c r="C1" s="5" t="n">
        <v>2022</v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</row>
    <row outlineLevel="0" r="2">
      <c r="A2" s="6" t="s">
        <v>39</v>
      </c>
      <c r="B2" s="6" t="n">
        <v>1510000</v>
      </c>
      <c r="C2" s="6" t="n">
        <v>2236476</v>
      </c>
      <c r="D2" s="6" t="n">
        <v>1934765</v>
      </c>
      <c r="E2" s="6" t="n">
        <v>4543534</v>
      </c>
      <c r="F2" s="6" t="n">
        <v>2348887</v>
      </c>
      <c r="G2" s="6" t="n">
        <v>1170004</v>
      </c>
      <c r="H2" s="6" t="n">
        <v>2344598</v>
      </c>
    </row>
    <row outlineLevel="0" r="3">
      <c r="A3" s="6" t="s">
        <v>40</v>
      </c>
      <c r="B3" s="6" t="n">
        <v>237800</v>
      </c>
      <c r="C3" s="6" t="n">
        <v>732647</v>
      </c>
      <c r="D3" s="6" t="n">
        <v>567672</v>
      </c>
      <c r="E3" s="6" t="n">
        <v>234234</v>
      </c>
      <c r="F3" s="6" t="n">
        <v>323217</v>
      </c>
      <c r="G3" s="6" t="n">
        <v>634423</v>
      </c>
      <c r="H3" s="6" t="n">
        <v>235455</v>
      </c>
    </row>
    <row outlineLevel="0" r="4">
      <c r="A4" s="6" t="s">
        <v>41</v>
      </c>
      <c r="B4" s="6" t="n">
        <v>3211400</v>
      </c>
      <c r="C4" s="6" t="n">
        <v>4873837</v>
      </c>
      <c r="D4" s="6" t="n">
        <v>3654654</v>
      </c>
      <c r="E4" s="6" t="n">
        <v>3453453</v>
      </c>
      <c r="F4" s="6" t="n">
        <v>5435323</v>
      </c>
      <c r="G4" s="6" t="n">
        <v>4586959</v>
      </c>
      <c r="H4" s="6" t="n">
        <v>8576885</v>
      </c>
    </row>
    <row outlineLevel="0" r="5">
      <c r="A5" s="6" t="s">
        <v>42</v>
      </c>
      <c r="B5" s="6" t="n">
        <v>4961201</v>
      </c>
      <c r="C5" s="6" t="n">
        <v>7844962</v>
      </c>
      <c r="D5" s="6" t="n">
        <v>6159094</v>
      </c>
      <c r="E5" s="6" t="n">
        <v>8233225</v>
      </c>
      <c r="F5" s="6" t="n">
        <v>8109432</v>
      </c>
      <c r="G5" s="6" t="n">
        <v>6393392</v>
      </c>
      <c r="H5" s="6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2026-05-04T08:59:59Z</dcterms:created>
  <dcterms:modified xsi:type="dcterms:W3CDTF">2026-05-04T08:59:59Z</dcterms:modified>
</cp:coreProperties>
</file>